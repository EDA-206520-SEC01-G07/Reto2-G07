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s.gonzalezl2\Documents\EDA\Reto2-G07\Docs\"/>
    </mc:Choice>
  </mc:AlternateContent>
  <xr:revisionPtr revIDLastSave="0" documentId="13_ncr:1_{779E5DC0-5416-42BA-983A-A0CC82844018}" xr6:coauthVersionLast="47" xr6:coauthVersionMax="47" xr10:uidLastSave="{00000000-0000-0000-0000-000000000000}"/>
  <bookViews>
    <workbookView xWindow="-110" yWindow="-110" windowWidth="19420" windowHeight="11500" activeTab="2" xr2:uid="{D82936D8-D2C9-4EB2-9CBC-3665F65B95FD}"/>
  </bookViews>
  <sheets>
    <sheet name="01-Data Req. 4" sheetId="1" r:id="rId1"/>
    <sheet name="02-Gráfica Req. 4" sheetId="8" r:id="rId2"/>
    <sheet name="03-Análisis Req. 4" sheetId="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H19" i="1"/>
  <c r="H20" i="1"/>
  <c r="H21" i="1"/>
  <c r="H22" i="1"/>
  <c r="H23" i="1"/>
  <c r="H24" i="1"/>
  <c r="H25" i="1"/>
  <c r="H26" i="1"/>
  <c r="H17" i="1"/>
  <c r="H4" i="1"/>
  <c r="H5" i="1"/>
  <c r="H6" i="1"/>
  <c r="H7" i="1"/>
  <c r="H8" i="1"/>
  <c r="H9" i="1"/>
  <c r="H10" i="1"/>
  <c r="H11" i="1"/>
  <c r="H12" i="1"/>
  <c r="H3" i="1"/>
  <c r="B17" i="1"/>
  <c r="B18" i="1"/>
  <c r="B19" i="1"/>
  <c r="B20" i="1"/>
  <c r="B21" i="1"/>
  <c r="B22" i="1"/>
  <c r="B23" i="1"/>
  <c r="B24" i="1"/>
  <c r="B25" i="1"/>
  <c r="B26" i="1"/>
  <c r="B3" i="1"/>
  <c r="B4" i="1"/>
  <c r="B5" i="1"/>
  <c r="B6" i="1"/>
  <c r="B7" i="1"/>
  <c r="B8" i="1"/>
  <c r="B9" i="1"/>
  <c r="B10" i="1"/>
  <c r="B11" i="1"/>
  <c r="B12" i="1"/>
</calcChain>
</file>

<file path=xl/sharedStrings.xml><?xml version="1.0" encoding="utf-8"?>
<sst xmlns="http://schemas.openxmlformats.org/spreadsheetml/2006/main" count="26" uniqueCount="24">
  <si>
    <t>TIEMPOS PARA REQUERIMIENTO 4 - RETO 1</t>
  </si>
  <si>
    <t>Porcentaje de la muestra</t>
  </si>
  <si>
    <t>Tamaño de la muestra</t>
  </si>
  <si>
    <t>Tiempo1</t>
  </si>
  <si>
    <t>Tiempo2</t>
  </si>
  <si>
    <t>Tiempo3</t>
  </si>
  <si>
    <t>Tiempo4</t>
  </si>
  <si>
    <t>Tiempo5</t>
  </si>
  <si>
    <t>Tiempo promedio (Reto 1)</t>
  </si>
  <si>
    <t>TIEMPOS PARA REQUERIMIENTO 4 - RETO 2</t>
  </si>
  <si>
    <t>Tiempo 1</t>
  </si>
  <si>
    <t>Tiempo 2</t>
  </si>
  <si>
    <t>Tiempo 3</t>
  </si>
  <si>
    <t>Tiempo 4</t>
  </si>
  <si>
    <t>Tiempo 5</t>
  </si>
  <si>
    <t>Tiempo promedio (Reto 2)</t>
  </si>
  <si>
    <t>Preguntas de análisis</t>
  </si>
  <si>
    <t>Respuestas</t>
  </si>
  <si>
    <t>Al analizar los tiempos promedio obtenidos para el requerimiento 4 en el Reto 1 y el Reto 2, ¿Qué diferencias se observan en el comportamiento a medida que aumenta el tamaño del archivo .csv? Explicar qué indican esos resultados sobre el rendimiento temporal de cada estructura de datos.</t>
  </si>
  <si>
    <t>Comparar la complejidad temporal teórica del requerimiento 4 implementado con las estructuras de datos del reto 1 frente a la implementación con tablas hash. ¿Teóricamente sobre cual Estructura de Datos se tiene mejor eficiencia temporal? ¿Los resultados experimentales demuestran el mismo resultado?</t>
  </si>
  <si>
    <t>A partir del análisis teórico y experimental realizado, ¿qué conclusión puede obtener sobre el impacto de la estructura de datos en el rendimiento de un algoritmo? ¿Es importante la selección de una estructura de datos específica según el tipo de requerimiento?</t>
  </si>
  <si>
    <t>Al comparar los tiempos promedio, se observa que en ambos retos el tiempo aumenta a medida que crece el archivo, pero el Reto 2 es más rápido en todos los tamaños. Con 20.000 pedidos el Reto 1 tarda cerca de 34 ms y el Reto 2 cerca de 9 ms, y con 100.000 pedidos tarda unos 124 ms frente a unos 51 ms. Es decir, el Reto 2 es entre 2,4 y 3,6 veces más rápido. En el Reto 1 el crecimiento es aproximadamente lineal, lo que indica que se recorren los pedidos para encontrar la combinación Producto-País. En el Reto 2 la tabla hash lleva directamente al grupo de esa combinación, así que solo se recorren los pedidos que la componen. También conviene notar que las filas de 10 %, 30 %, 50 %, 70 % y 90 % tienen ceros porque no se midieron, y deben excluirse del análisis y de la gráfica. Algunos valores aislados del Reto 2, como 6,19 ms en el 20 % y 14,71 ms en el 60 %, parecen ruido de la máquina.</t>
  </si>
  <si>
    <t>En términos teóricos, el Reto 1 tiene una complejidad O(n), porque revisa todos los pedidos. El Reto 2 tiene una complejidad O(1) promedio para obtener el grupo mediante la llave (producto, país), más O(k) para recorrer ese grupo, donde k es el número de pedidos de la combinación y k ≤ n. Por lo tanto, la tabla hash es teóricamente más eficiente, y los resultados experimentales lo confirman. Sin embargo, la mejora es de factor constante y no de tiempo constante: el número de combinaciones es fijo, así que k crece proporcionalmente con n. Eso explica por qué el tiempo del Reto 2 también aumenta y por qué la ventaja baja de 3,6x a 2,4x al crecer el archivo, aunque con solo cinco mediciones por tamaño hay algo de ruido.</t>
  </si>
  <si>
    <t>De todo esto se concluye que la estructura de datos tiene un impacto directo en el rendimiento: con la misma consulta y el mismo resultado, la tabla hash redujo el tiempo a menos de la mitad. Por eso es importante elegir la estructura según el tipo de requerimiento. Las tablas hash son ideales para consultas por llave exacta, como Producto-País, pero no resuelven por sí solas los rangos ni los ordenamientos. En esos casos el mapa reduce el espacio de búsqueda y aun así hay que filtrar u ordenar el grupo resultante, de modo que conviene analizar qué pide cada requerimiento antes de decidir.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</si>
</sst>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Dax-Regular"/>
    </font>
    <font>
      <b/>
      <sz val="11"/>
      <color rgb="FF000000"/>
      <name val="Dax-Regular"/>
    </font>
    <font>
      <b/>
      <sz val="11"/>
      <color theme="1"/>
      <name val="Dax-Regular"/>
    </font>
    <font>
      <sz val="11"/>
      <color theme="0"/>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69E76"/>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10" fontId="1" fillId="0" borderId="0" xfId="0" applyNumberFormat="1" applyFont="1" applyAlignment="1">
      <alignment horizontal="center" vertical="center" wrapText="1"/>
    </xf>
    <xf numFmtId="2" fontId="1" fillId="0" borderId="0" xfId="0" applyNumberFormat="1" applyFont="1" applyAlignment="1">
      <alignment horizontal="center" vertical="center"/>
    </xf>
    <xf numFmtId="0" fontId="2" fillId="0" borderId="0" xfId="0" applyFont="1" applyAlignment="1">
      <alignment horizontal="center" vertical="center" wrapText="1"/>
    </xf>
    <xf numFmtId="0" fontId="3" fillId="0" borderId="0" xfId="0" applyFont="1"/>
    <xf numFmtId="0" fontId="4" fillId="0" borderId="0" xfId="0" applyFont="1"/>
    <xf numFmtId="0" fontId="0" fillId="0" borderId="1" xfId="0" applyBorder="1"/>
    <xf numFmtId="0" fontId="0" fillId="4" borderId="1" xfId="0" applyFill="1" applyBorder="1" applyAlignment="1">
      <alignment horizontal="left" vertical="center" wrapText="1"/>
    </xf>
    <xf numFmtId="0" fontId="5" fillId="2" borderId="0" xfId="0" applyFont="1" applyFill="1" applyAlignment="1">
      <alignment horizontal="center" vertical="center"/>
    </xf>
    <xf numFmtId="0" fontId="5" fillId="3" borderId="0" xfId="0" applyFont="1" applyFill="1" applyAlignment="1">
      <alignment horizontal="center"/>
    </xf>
    <xf numFmtId="0" fontId="0" fillId="0" borderId="1" xfId="0" applyBorder="1" applyAlignment="1">
      <alignment vertical="center" wrapText="1"/>
    </xf>
  </cellXfs>
  <cellStyles count="1">
    <cellStyle name="Normal" xfId="0" builtinId="0"/>
  </cellStyles>
  <dxfs count="20">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justify"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colors>
    <mruColors>
      <color rgb="FFF69E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Comparación de tiempos de ejecucion para</a:t>
            </a:r>
            <a:r>
              <a:rPr lang="en-US" b="1" baseline="0"/>
              <a:t> el Requerimiento 4</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'01-Data Req. 4'!$H$2</c:f>
              <c:strCache>
                <c:ptCount val="1"/>
                <c:pt idx="0">
                  <c:v>Tiempo promedio (Reto 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63811854896437"/>
                  <c:y val="-3.2945200031814204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4'!$A$3:$A$14</c:f>
              <c:numCache>
                <c:formatCode>0.00%</c:formatCode>
                <c:ptCount val="12"/>
                <c:pt idx="0">
                  <c:v>0.1</c:v>
                </c:pt>
                <c:pt idx="1">
                  <c:v>0.2</c:v>
                </c:pt>
                <c:pt idx="2">
                  <c:v>0.3</c:v>
                </c:pt>
                <c:pt idx="3">
                  <c:v>0.4</c:v>
                </c:pt>
                <c:pt idx="4">
                  <c:v>0.5</c:v>
                </c:pt>
                <c:pt idx="5">
                  <c:v>0.6</c:v>
                </c:pt>
                <c:pt idx="6">
                  <c:v>0.7</c:v>
                </c:pt>
                <c:pt idx="7">
                  <c:v>0.8</c:v>
                </c:pt>
                <c:pt idx="8">
                  <c:v>0.9</c:v>
                </c:pt>
                <c:pt idx="9">
                  <c:v>1</c:v>
                </c:pt>
              </c:numCache>
            </c:numRef>
          </c:xVal>
          <c:yVal>
            <c:numRef>
              <c:f>'01-Data Req. 4'!$C$3:$C$14</c:f>
              <c:numCache>
                <c:formatCode>0.00</c:formatCode>
                <c:ptCount val="12"/>
                <c:pt idx="0">
                  <c:v>0</c:v>
                </c:pt>
                <c:pt idx="1">
                  <c:v>41.235999999999997</c:v>
                </c:pt>
                <c:pt idx="2">
                  <c:v>0</c:v>
                </c:pt>
                <c:pt idx="3">
                  <c:v>61.356999999999999</c:v>
                </c:pt>
                <c:pt idx="4">
                  <c:v>0</c:v>
                </c:pt>
                <c:pt idx="5">
                  <c:v>91.335999999999999</c:v>
                </c:pt>
                <c:pt idx="6">
                  <c:v>0</c:v>
                </c:pt>
                <c:pt idx="7">
                  <c:v>79.918000000000006</c:v>
                </c:pt>
                <c:pt idx="8">
                  <c:v>0</c:v>
                </c:pt>
                <c:pt idx="9">
                  <c:v>115.09</c:v>
                </c:pt>
              </c:numCache>
            </c:numRef>
          </c:yVal>
          <c:smooth val="1"/>
          <c:extLst>
            <c:ext xmlns:c16="http://schemas.microsoft.com/office/drawing/2014/chart" uri="{C3380CC4-5D6E-409C-BE32-E72D297353CC}">
              <c16:uniqueId val="{00000000-B3D4-4A09-BEFF-C643A08A798B}"/>
            </c:ext>
          </c:extLst>
        </c:ser>
        <c:ser>
          <c:idx val="1"/>
          <c:order val="1"/>
          <c:tx>
            <c:strRef>
              <c:f>'01-Data Req. 4'!$H$16</c:f>
              <c:strCache>
                <c:ptCount val="1"/>
                <c:pt idx="0">
                  <c:v>Tiempo promedio (Reto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593553005287829E-2"/>
                  <c:y val="0.123767279090113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4'!$A$17:$A$26</c:f>
              <c:numCache>
                <c:formatCode>0.00%</c:formatCode>
                <c:ptCount val="10"/>
                <c:pt idx="0">
                  <c:v>0.1</c:v>
                </c:pt>
                <c:pt idx="1">
                  <c:v>0.2</c:v>
                </c:pt>
                <c:pt idx="2">
                  <c:v>0.3</c:v>
                </c:pt>
                <c:pt idx="3">
                  <c:v>0.4</c:v>
                </c:pt>
                <c:pt idx="4">
                  <c:v>0.5</c:v>
                </c:pt>
                <c:pt idx="5">
                  <c:v>0.6</c:v>
                </c:pt>
                <c:pt idx="6">
                  <c:v>0.7</c:v>
                </c:pt>
                <c:pt idx="7">
                  <c:v>0.8</c:v>
                </c:pt>
                <c:pt idx="8">
                  <c:v>0.9</c:v>
                </c:pt>
                <c:pt idx="9">
                  <c:v>1</c:v>
                </c:pt>
              </c:numCache>
            </c:numRef>
          </c:xVal>
          <c:yVal>
            <c:numRef>
              <c:f>'01-Data Req. 4'!$H$17:$H$26</c:f>
              <c:numCache>
                <c:formatCode>General</c:formatCode>
                <c:ptCount val="10"/>
                <c:pt idx="0">
                  <c:v>0</c:v>
                </c:pt>
                <c:pt idx="1">
                  <c:v>9.3539999999999992</c:v>
                </c:pt>
                <c:pt idx="2">
                  <c:v>0</c:v>
                </c:pt>
                <c:pt idx="3">
                  <c:v>19.558</c:v>
                </c:pt>
                <c:pt idx="4">
                  <c:v>0</c:v>
                </c:pt>
                <c:pt idx="5">
                  <c:v>27.155999999999999</c:v>
                </c:pt>
                <c:pt idx="6">
                  <c:v>0</c:v>
                </c:pt>
                <c:pt idx="7">
                  <c:v>36.618000000000002</c:v>
                </c:pt>
                <c:pt idx="8">
                  <c:v>0</c:v>
                </c:pt>
                <c:pt idx="9">
                  <c:v>51.227999999999994</c:v>
                </c:pt>
              </c:numCache>
            </c:numRef>
          </c:yVal>
          <c:smooth val="1"/>
          <c:extLst>
            <c:ext xmlns:c16="http://schemas.microsoft.com/office/drawing/2014/chart" uri="{C3380CC4-5D6E-409C-BE32-E72D297353CC}">
              <c16:uniqueId val="{00000001-B3D4-4A09-BEFF-C643A08A798B}"/>
            </c:ext>
          </c:extLst>
        </c:ser>
        <c:dLbls>
          <c:showLegendKey val="0"/>
          <c:showVal val="0"/>
          <c:showCatName val="0"/>
          <c:showSerName val="0"/>
          <c:showPercent val="0"/>
          <c:showBubbleSize val="0"/>
        </c:dLbls>
        <c:axId val="1328118000"/>
        <c:axId val="1328121328"/>
      </c:scatterChart>
      <c:valAx>
        <c:axId val="132811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Tamaño</a:t>
                </a:r>
                <a:r>
                  <a:rPr lang="en-US" b="1" baseline="0"/>
                  <a:t> de la muestra [Porcentaje]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21328"/>
        <c:crosses val="autoZero"/>
        <c:crossBetween val="midCat"/>
      </c:valAx>
      <c:valAx>
        <c:axId val="13281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 de Ejecución [ms]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8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D4D373F-B89D-476A-916E-D6B8B50B0AC1}">
  <sheetPr>
    <tabColor theme="9" tint="0.59999389629810485"/>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96400" cy="6070600"/>
    <xdr:graphicFrame macro="">
      <xdr:nvGraphicFramePr>
        <xdr:cNvPr id="2" name="Chart 1">
          <a:extLst>
            <a:ext uri="{FF2B5EF4-FFF2-40B4-BE49-F238E27FC236}">
              <a16:creationId xmlns:a16="http://schemas.microsoft.com/office/drawing/2014/main" id="{E62ACB43-BF23-44E0-A2C1-1BE0D48E22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D0253-75B0-4C0B-8972-D03303899249}" name="Table1" displayName="Table1" ref="A2:H12" totalsRowShown="0" headerRowDxfId="19" dataDxfId="18">
  <autoFilter ref="A2:H12" xr:uid="{072D0253-75B0-4C0B-8972-D0330389924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7AF2A2F-BC4B-404E-9B8B-256DA178E68B}" name="Porcentaje de la muestra" dataDxfId="17"/>
    <tableColumn id="2" xr3:uid="{23CECC62-35E0-466E-9502-4F5CC2E6F7A7}" name="Tamaño de la muestra" dataDxfId="16">
      <calculatedColumnFormula>Table1[[#This Row],[Porcentaje de la muestra]]*100000</calculatedColumnFormula>
    </tableColumn>
    <tableColumn id="6" xr3:uid="{1D7A89FD-B4C8-4B63-8144-3D2813CE09D2}" name="Tiempo1" dataDxfId="15"/>
    <tableColumn id="7" xr3:uid="{694553F5-E3D6-4DD7-9F82-2F775378069C}" name="Tiempo2" dataDxfId="14"/>
    <tableColumn id="10" xr3:uid="{DC77D538-1BF6-4CC8-A666-55E3AECB1094}" name="Tiempo3" dataDxfId="13"/>
    <tableColumn id="12" xr3:uid="{55DDEB9A-1D37-47AF-A22B-DCDED00B45F1}" name="Tiempo4" dataDxfId="12"/>
    <tableColumn id="13" xr3:uid="{18627A96-D9BD-4918-AC15-00FEC9F6C145}" name="Tiempo5" dataDxfId="11"/>
    <tableColumn id="3" xr3:uid="{19B1D273-887B-4392-991E-015D36D99E5B}" name="Tiempo promedio (Reto 1)" dataDxfId="10">
      <calculatedColumnFormula>AVERAGE(Table1[[#This Row],[Tiempo1]:[Tiempo5]])</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5EFFA4-2B65-46C5-8257-6884800B9577}" name="Table13" displayName="Table13" ref="A16:H26" totalsRowShown="0" headerRowDxfId="9" dataDxfId="8">
  <autoFilter ref="A16:H26" xr:uid="{5C24B5A8-1B8E-4092-B34A-66FF5413D10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6584851-71BC-4FF5-B248-C3F46BA653AF}" name="Porcentaje de la muestra" dataDxfId="7"/>
    <tableColumn id="2" xr3:uid="{4F9B7329-040C-4D35-96E7-B9181424DC65}" name="Tamaño de la muestra" dataDxfId="6">
      <calculatedColumnFormula>Table13[[#This Row],[Porcentaje de la muestra]]*100000</calculatedColumnFormula>
    </tableColumn>
    <tableColumn id="6" xr3:uid="{73B8EDF2-52F3-4761-86EF-C7C71418F742}" name="Tiempo 1" dataDxfId="5"/>
    <tableColumn id="7" xr3:uid="{1E7534A5-4635-46DD-9452-9E4AA3B877EC}" name="Tiempo 2" dataDxfId="4"/>
    <tableColumn id="10" xr3:uid="{24936BC1-C83A-4407-814F-11214A4E9891}" name="Tiempo 3" dataDxfId="3"/>
    <tableColumn id="12" xr3:uid="{EBD8DFA2-3D20-4288-8498-555F04A9538F}" name="Tiempo 4" dataDxfId="2"/>
    <tableColumn id="13" xr3:uid="{44A85E6E-039D-4504-AD1E-8FF29C055C05}" name="Tiempo 5" dataDxfId="1"/>
    <tableColumn id="3" xr3:uid="{BDA028DF-4CED-4928-B040-96AD8F8A43EB}" name="Tiempo promedio (Reto 2)" dataDxfId="0">
      <calculatedColumnFormula>AVERAGE(Table13[[#This Row],[Tiempo 1]:[Tiempo 5]])</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4742-4EBB-4241-AC8A-0E5F24F7BB7B}">
  <dimension ref="A1:H26"/>
  <sheetViews>
    <sheetView zoomScale="112" zoomScaleNormal="130" workbookViewId="0">
      <selection activeCell="H26" sqref="A1:H26"/>
    </sheetView>
  </sheetViews>
  <sheetFormatPr baseColWidth="10" defaultColWidth="8.81640625" defaultRowHeight="14.5"/>
  <cols>
    <col min="1" max="1" width="19.1796875" style="1" bestFit="1" customWidth="1"/>
    <col min="2" max="2" width="25.453125" style="1" bestFit="1" customWidth="1"/>
    <col min="3" max="4" width="10.453125" style="1" bestFit="1" customWidth="1"/>
    <col min="5" max="5" width="10.453125" style="6" bestFit="1" customWidth="1"/>
    <col min="6" max="7" width="10.453125" bestFit="1" customWidth="1"/>
    <col min="8" max="12" width="24.453125" customWidth="1"/>
  </cols>
  <sheetData>
    <row r="1" spans="1:8" ht="14.25" customHeight="1">
      <c r="C1" s="9" t="s">
        <v>0</v>
      </c>
      <c r="D1" s="9"/>
      <c r="E1" s="9"/>
      <c r="F1" s="9"/>
      <c r="G1" s="9"/>
      <c r="H1" s="9"/>
    </row>
    <row r="2" spans="1:8" s="5" customFormat="1" ht="28">
      <c r="A2" s="4" t="s">
        <v>1</v>
      </c>
      <c r="B2" s="4" t="s">
        <v>2</v>
      </c>
      <c r="C2" s="4" t="s">
        <v>3</v>
      </c>
      <c r="D2" s="4" t="s">
        <v>4</v>
      </c>
      <c r="E2" s="4" t="s">
        <v>5</v>
      </c>
      <c r="F2" s="4" t="s">
        <v>6</v>
      </c>
      <c r="G2" s="4" t="s">
        <v>7</v>
      </c>
      <c r="H2" s="4" t="s">
        <v>8</v>
      </c>
    </row>
    <row r="3" spans="1:8" s="5" customFormat="1" ht="14">
      <c r="A3" s="2">
        <v>0.1</v>
      </c>
      <c r="B3" s="3">
        <f>Table1[[#This Row],[Porcentaje de la muestra]]*100000</f>
        <v>10000</v>
      </c>
      <c r="C3" s="3">
        <v>0</v>
      </c>
      <c r="D3" s="3">
        <v>0</v>
      </c>
      <c r="E3" s="3">
        <v>0</v>
      </c>
      <c r="F3" s="3">
        <v>0</v>
      </c>
      <c r="G3" s="3">
        <v>0</v>
      </c>
      <c r="H3" s="4">
        <f>AVERAGE(Table1[[#This Row],[Tiempo1]:[Tiempo5]])</f>
        <v>0</v>
      </c>
    </row>
    <row r="4" spans="1:8" s="5" customFormat="1" ht="14">
      <c r="A4" s="2">
        <v>0.2</v>
      </c>
      <c r="B4" s="3">
        <f>Table1[[#This Row],[Porcentaje de la muestra]]*100000</f>
        <v>20000</v>
      </c>
      <c r="C4" s="3">
        <v>41.235999999999997</v>
      </c>
      <c r="D4" s="3">
        <v>30.382999999999999</v>
      </c>
      <c r="E4" s="3">
        <v>31</v>
      </c>
      <c r="F4" s="3">
        <v>32.244999999999997</v>
      </c>
      <c r="G4" s="3">
        <v>33.521000000000001</v>
      </c>
      <c r="H4" s="4">
        <f>AVERAGE(Table1[[#This Row],[Tiempo1]:[Tiempo5]])</f>
        <v>33.677</v>
      </c>
    </row>
    <row r="5" spans="1:8">
      <c r="A5" s="2">
        <v>0.3</v>
      </c>
      <c r="B5" s="3">
        <f>Table1[[#This Row],[Porcentaje de la muestra]]*100000</f>
        <v>30000</v>
      </c>
      <c r="C5" s="3">
        <v>0</v>
      </c>
      <c r="D5" s="3">
        <v>0</v>
      </c>
      <c r="E5" s="3">
        <v>0</v>
      </c>
      <c r="F5" s="3">
        <v>0</v>
      </c>
      <c r="G5" s="3">
        <v>0</v>
      </c>
      <c r="H5" s="4">
        <f>AVERAGE(Table1[[#This Row],[Tiempo1]:[Tiempo5]])</f>
        <v>0</v>
      </c>
    </row>
    <row r="6" spans="1:8">
      <c r="A6" s="2">
        <v>0.4</v>
      </c>
      <c r="B6" s="3">
        <f>Table1[[#This Row],[Porcentaje de la muestra]]*100000</f>
        <v>40000</v>
      </c>
      <c r="C6" s="3">
        <v>61.356999999999999</v>
      </c>
      <c r="D6" s="3">
        <v>57.421999999999997</v>
      </c>
      <c r="E6" s="3">
        <v>66.852999999999994</v>
      </c>
      <c r="F6" s="3">
        <v>61.258000000000003</v>
      </c>
      <c r="G6" s="3">
        <v>60.789000000000001</v>
      </c>
      <c r="H6" s="4">
        <f>AVERAGE(Table1[[#This Row],[Tiempo1]:[Tiempo5]])</f>
        <v>61.535800000000009</v>
      </c>
    </row>
    <row r="7" spans="1:8">
      <c r="A7" s="2">
        <v>0.5</v>
      </c>
      <c r="B7" s="3">
        <f>Table1[[#This Row],[Porcentaje de la muestra]]*100000</f>
        <v>50000</v>
      </c>
      <c r="C7" s="3">
        <v>0</v>
      </c>
      <c r="D7" s="3">
        <v>0</v>
      </c>
      <c r="E7" s="3">
        <v>0</v>
      </c>
      <c r="F7" s="3">
        <v>0</v>
      </c>
      <c r="G7" s="3">
        <v>0</v>
      </c>
      <c r="H7" s="4">
        <f>AVERAGE(Table1[[#This Row],[Tiempo1]:[Tiempo5]])</f>
        <v>0</v>
      </c>
    </row>
    <row r="8" spans="1:8">
      <c r="A8" s="2">
        <v>0.6</v>
      </c>
      <c r="B8" s="3">
        <f>Table1[[#This Row],[Porcentaje de la muestra]]*100000</f>
        <v>60000</v>
      </c>
      <c r="C8" s="3">
        <v>91.335999999999999</v>
      </c>
      <c r="D8" s="3">
        <v>94.587999999999994</v>
      </c>
      <c r="E8" s="3">
        <v>82.807000000000002</v>
      </c>
      <c r="F8" s="3">
        <v>82.378</v>
      </c>
      <c r="G8" s="3">
        <v>84.034000000000006</v>
      </c>
      <c r="H8" s="4">
        <f>AVERAGE(Table1[[#This Row],[Tiempo1]:[Tiempo5]])</f>
        <v>87.028599999999997</v>
      </c>
    </row>
    <row r="9" spans="1:8">
      <c r="A9" s="2">
        <v>0.7</v>
      </c>
      <c r="B9" s="3">
        <f>Table1[[#This Row],[Porcentaje de la muestra]]*100000</f>
        <v>70000</v>
      </c>
      <c r="C9" s="3">
        <v>0</v>
      </c>
      <c r="D9" s="3">
        <v>0</v>
      </c>
      <c r="E9" s="3">
        <v>0</v>
      </c>
      <c r="F9" s="3">
        <v>0</v>
      </c>
      <c r="G9" s="3">
        <v>0</v>
      </c>
      <c r="H9" s="4">
        <f>AVERAGE(Table1[[#This Row],[Tiempo1]:[Tiempo5]])</f>
        <v>0</v>
      </c>
    </row>
    <row r="10" spans="1:8">
      <c r="A10" s="2">
        <v>0.8</v>
      </c>
      <c r="B10" s="3">
        <f>Table1[[#This Row],[Porcentaje de la muestra]]*100000</f>
        <v>80000</v>
      </c>
      <c r="C10" s="3">
        <v>79.918000000000006</v>
      </c>
      <c r="D10" s="3">
        <v>106.941</v>
      </c>
      <c r="E10" s="3">
        <v>111.91500000000001</v>
      </c>
      <c r="F10" s="3">
        <v>105.498</v>
      </c>
      <c r="G10" s="3">
        <v>110.85</v>
      </c>
      <c r="H10" s="4">
        <f>AVERAGE(Table1[[#This Row],[Tiempo1]:[Tiempo5]])</f>
        <v>103.02439999999999</v>
      </c>
    </row>
    <row r="11" spans="1:8">
      <c r="A11" s="2">
        <v>0.9</v>
      </c>
      <c r="B11" s="3">
        <f>Table1[[#This Row],[Porcentaje de la muestra]]*100000</f>
        <v>90000</v>
      </c>
      <c r="C11" s="3">
        <v>0</v>
      </c>
      <c r="D11" s="3">
        <v>0</v>
      </c>
      <c r="E11" s="3">
        <v>0</v>
      </c>
      <c r="F11" s="3">
        <v>0</v>
      </c>
      <c r="G11" s="3">
        <v>0</v>
      </c>
      <c r="H11" s="4">
        <f>AVERAGE(Table1[[#This Row],[Tiempo1]:[Tiempo5]])</f>
        <v>0</v>
      </c>
    </row>
    <row r="12" spans="1:8">
      <c r="A12" s="2">
        <v>1</v>
      </c>
      <c r="B12" s="3">
        <f>Table1[[#This Row],[Porcentaje de la muestra]]*100000</f>
        <v>100000</v>
      </c>
      <c r="C12" s="3">
        <v>115.09</v>
      </c>
      <c r="D12" s="3">
        <v>123.78</v>
      </c>
      <c r="E12" s="3">
        <v>124.74299999999999</v>
      </c>
      <c r="F12" s="3">
        <v>120.754</v>
      </c>
      <c r="G12" s="3">
        <v>135.12799999999999</v>
      </c>
      <c r="H12" s="4">
        <f>AVERAGE(Table1[[#This Row],[Tiempo1]:[Tiempo5]])</f>
        <v>123.899</v>
      </c>
    </row>
    <row r="13" spans="1:8">
      <c r="A13" s="2"/>
      <c r="B13" s="3"/>
      <c r="C13" s="4"/>
      <c r="D13" s="4"/>
      <c r="E13" s="4"/>
      <c r="F13" s="4"/>
      <c r="G13" s="4"/>
      <c r="H13" s="4"/>
    </row>
    <row r="15" spans="1:8" ht="14.25" customHeight="1">
      <c r="C15" s="10" t="s">
        <v>9</v>
      </c>
      <c r="D15" s="10"/>
      <c r="E15" s="10"/>
      <c r="F15" s="10"/>
      <c r="G15" s="10"/>
      <c r="H15" s="10"/>
    </row>
    <row r="16" spans="1:8" s="5" customFormat="1" ht="28">
      <c r="A16" s="4" t="s">
        <v>1</v>
      </c>
      <c r="B16" s="4" t="s">
        <v>2</v>
      </c>
      <c r="C16" s="4" t="s">
        <v>10</v>
      </c>
      <c r="D16" s="4" t="s">
        <v>11</v>
      </c>
      <c r="E16" s="4" t="s">
        <v>12</v>
      </c>
      <c r="F16" s="4" t="s">
        <v>13</v>
      </c>
      <c r="G16" s="4" t="s">
        <v>14</v>
      </c>
      <c r="H16" s="4" t="s">
        <v>15</v>
      </c>
    </row>
    <row r="17" spans="1:8" s="5" customFormat="1" ht="14">
      <c r="A17" s="2">
        <v>0.1</v>
      </c>
      <c r="B17" s="3">
        <f>Table13[[#This Row],[Porcentaje de la muestra]]*100000</f>
        <v>10000</v>
      </c>
      <c r="C17" s="3">
        <v>0</v>
      </c>
      <c r="D17" s="3">
        <v>0</v>
      </c>
      <c r="E17" s="3">
        <v>0</v>
      </c>
      <c r="F17" s="3">
        <v>0</v>
      </c>
      <c r="G17" s="3">
        <v>0</v>
      </c>
      <c r="H17" s="4">
        <f>AVERAGE(Table13[[#This Row],[Tiempo 1]:[Tiempo 5]])</f>
        <v>0</v>
      </c>
    </row>
    <row r="18" spans="1:8" s="5" customFormat="1" ht="14">
      <c r="A18" s="2">
        <v>0.2</v>
      </c>
      <c r="B18" s="3">
        <f>Table13[[#This Row],[Porcentaje de la muestra]]*100000</f>
        <v>20000</v>
      </c>
      <c r="C18" s="3">
        <v>10.11</v>
      </c>
      <c r="D18" s="3">
        <v>9.86</v>
      </c>
      <c r="E18" s="3">
        <v>6.19</v>
      </c>
      <c r="F18" s="3">
        <v>10.34</v>
      </c>
      <c r="G18" s="3">
        <v>10.27</v>
      </c>
      <c r="H18" s="4">
        <f>AVERAGE(Table13[[#This Row],[Tiempo 1]:[Tiempo 5]])</f>
        <v>9.3539999999999992</v>
      </c>
    </row>
    <row r="19" spans="1:8">
      <c r="A19" s="2">
        <v>0.3</v>
      </c>
      <c r="B19" s="3">
        <f>Table13[[#This Row],[Porcentaje de la muestra]]*100000</f>
        <v>30000</v>
      </c>
      <c r="C19" s="3">
        <v>0</v>
      </c>
      <c r="D19" s="3">
        <v>0</v>
      </c>
      <c r="E19" s="3">
        <v>0</v>
      </c>
      <c r="F19" s="3">
        <v>0</v>
      </c>
      <c r="G19" s="3">
        <v>0</v>
      </c>
      <c r="H19" s="4">
        <f>AVERAGE(Table13[[#This Row],[Tiempo 1]:[Tiempo 5]])</f>
        <v>0</v>
      </c>
    </row>
    <row r="20" spans="1:8">
      <c r="A20" s="2">
        <v>0.4</v>
      </c>
      <c r="B20" s="3">
        <f>Table13[[#This Row],[Porcentaje de la muestra]]*100000</f>
        <v>40000</v>
      </c>
      <c r="C20" s="3">
        <v>19.13</v>
      </c>
      <c r="D20" s="3">
        <v>19.329999999999998</v>
      </c>
      <c r="E20" s="3">
        <v>20.63</v>
      </c>
      <c r="F20" s="3">
        <v>19.329999999999998</v>
      </c>
      <c r="G20" s="3">
        <v>19.37</v>
      </c>
      <c r="H20" s="4">
        <f>AVERAGE(Table13[[#This Row],[Tiempo 1]:[Tiempo 5]])</f>
        <v>19.558</v>
      </c>
    </row>
    <row r="21" spans="1:8">
      <c r="A21" s="2">
        <v>0.5</v>
      </c>
      <c r="B21" s="3">
        <f>Table13[[#This Row],[Porcentaje de la muestra]]*100000</f>
        <v>50000</v>
      </c>
      <c r="C21" s="3">
        <v>0</v>
      </c>
      <c r="D21" s="3">
        <v>0</v>
      </c>
      <c r="E21" s="3">
        <v>0</v>
      </c>
      <c r="F21" s="3">
        <v>0</v>
      </c>
      <c r="G21" s="3">
        <v>0</v>
      </c>
      <c r="H21" s="4">
        <f>AVERAGE(Table13[[#This Row],[Tiempo 1]:[Tiempo 5]])</f>
        <v>0</v>
      </c>
    </row>
    <row r="22" spans="1:8">
      <c r="A22" s="2">
        <v>0.6</v>
      </c>
      <c r="B22" s="3">
        <f>Table13[[#This Row],[Porcentaje de la muestra]]*100000</f>
        <v>60000</v>
      </c>
      <c r="C22" s="3">
        <v>30.57</v>
      </c>
      <c r="D22" s="3">
        <v>30.86</v>
      </c>
      <c r="E22" s="3">
        <v>29.93</v>
      </c>
      <c r="F22" s="3">
        <v>14.71</v>
      </c>
      <c r="G22" s="3">
        <v>29.71</v>
      </c>
      <c r="H22" s="4">
        <f>AVERAGE(Table13[[#This Row],[Tiempo 1]:[Tiempo 5]])</f>
        <v>27.155999999999999</v>
      </c>
    </row>
    <row r="23" spans="1:8">
      <c r="A23" s="2">
        <v>0.7</v>
      </c>
      <c r="B23" s="3">
        <f>Table13[[#This Row],[Porcentaje de la muestra]]*100000</f>
        <v>70000</v>
      </c>
      <c r="C23" s="3">
        <v>0</v>
      </c>
      <c r="D23" s="3">
        <v>0</v>
      </c>
      <c r="E23" s="3">
        <v>0</v>
      </c>
      <c r="F23" s="3">
        <v>0</v>
      </c>
      <c r="G23" s="3">
        <v>0</v>
      </c>
      <c r="H23" s="4">
        <f>AVERAGE(Table13[[#This Row],[Tiempo 1]:[Tiempo 5]])</f>
        <v>0</v>
      </c>
    </row>
    <row r="24" spans="1:8">
      <c r="A24" s="2">
        <v>0.8</v>
      </c>
      <c r="B24" s="3">
        <f>Table13[[#This Row],[Porcentaje de la muestra]]*100000</f>
        <v>80000</v>
      </c>
      <c r="C24" s="3">
        <v>35.67</v>
      </c>
      <c r="D24" s="3">
        <v>44.54</v>
      </c>
      <c r="E24" s="3">
        <v>21.67</v>
      </c>
      <c r="F24" s="3">
        <v>40.65</v>
      </c>
      <c r="G24" s="3">
        <v>40.56</v>
      </c>
      <c r="H24" s="4">
        <f>AVERAGE(Table13[[#This Row],[Tiempo 1]:[Tiempo 5]])</f>
        <v>36.618000000000002</v>
      </c>
    </row>
    <row r="25" spans="1:8">
      <c r="A25" s="2">
        <v>0.9</v>
      </c>
      <c r="B25" s="3">
        <f>Table13[[#This Row],[Porcentaje de la muestra]]*100000</f>
        <v>90000</v>
      </c>
      <c r="C25" s="3">
        <v>0</v>
      </c>
      <c r="D25" s="3">
        <v>0</v>
      </c>
      <c r="E25" s="3">
        <v>0</v>
      </c>
      <c r="F25" s="3">
        <v>0</v>
      </c>
      <c r="G25" s="3">
        <v>0</v>
      </c>
      <c r="H25" s="4">
        <f>AVERAGE(Table13[[#This Row],[Tiempo 1]:[Tiempo 5]])</f>
        <v>0</v>
      </c>
    </row>
    <row r="26" spans="1:8">
      <c r="A26" s="2">
        <v>1</v>
      </c>
      <c r="B26" s="3">
        <f>Table13[[#This Row],[Porcentaje de la muestra]]*100000</f>
        <v>100000</v>
      </c>
      <c r="C26" s="3">
        <v>48.06</v>
      </c>
      <c r="D26" s="3">
        <v>51.62</v>
      </c>
      <c r="E26" s="3">
        <v>51.33</v>
      </c>
      <c r="F26" s="3">
        <v>54.08</v>
      </c>
      <c r="G26" s="3">
        <v>51.05</v>
      </c>
      <c r="H26" s="4">
        <f>AVERAGE(Table13[[#This Row],[Tiempo 1]:[Tiempo 5]])</f>
        <v>51.227999999999994</v>
      </c>
    </row>
  </sheetData>
  <mergeCells count="2">
    <mergeCell ref="C1:H1"/>
    <mergeCell ref="C15:H15"/>
  </mergeCells>
  <phoneticPr fontId="6"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D320-7E14-4249-AED7-A0983CAA46F0}">
  <sheetPr>
    <tabColor theme="4" tint="0.79998168889431442"/>
  </sheetPr>
  <dimension ref="A1:B4"/>
  <sheetViews>
    <sheetView tabSelected="1" topLeftCell="A3" zoomScale="76" workbookViewId="0">
      <selection activeCell="B5" sqref="B5"/>
    </sheetView>
  </sheetViews>
  <sheetFormatPr baseColWidth="10" defaultColWidth="11.453125" defaultRowHeight="14.5"/>
  <cols>
    <col min="1" max="1" width="61.81640625" customWidth="1"/>
    <col min="2" max="2" width="90.453125" customWidth="1"/>
  </cols>
  <sheetData>
    <row r="1" spans="1:2">
      <c r="A1" s="7" t="s">
        <v>16</v>
      </c>
      <c r="B1" s="7" t="s">
        <v>17</v>
      </c>
    </row>
    <row r="2" spans="1:2" ht="150.5" customHeight="1">
      <c r="A2" s="8" t="s">
        <v>18</v>
      </c>
      <c r="B2" s="11" t="s">
        <v>21</v>
      </c>
    </row>
    <row r="3" spans="1:2" ht="150.5" customHeight="1">
      <c r="A3" s="8" t="s">
        <v>19</v>
      </c>
      <c r="B3" s="11" t="s">
        <v>22</v>
      </c>
    </row>
    <row r="4" spans="1:2" ht="150.5" customHeight="1">
      <c r="A4" s="8" t="s">
        <v>20</v>
      </c>
      <c r="B4" s="11" t="s">
        <v>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85e30bcc-d76c-4413-8e4d-2dce22fb0743">
      <UserInfo>
        <DisplayName>Carlos Andres Lozano Garzon</DisplayName>
        <AccountId>13</AccountId>
        <AccountType/>
      </UserInfo>
      <UserInfo>
        <DisplayName>Dario Ernesto Correal Torres</DisplayName>
        <AccountId>15</AccountId>
        <AccountType/>
      </UserInfo>
      <UserInfo>
        <DisplayName>Mario  Fernando De la rosa Rosero</DisplayName>
        <AccountId>16</AccountId>
        <AccountType/>
      </UserInfo>
      <UserInfo>
        <DisplayName>Christian Camilo Aparicio Baquen</DisplayName>
        <AccountId>50</AccountId>
        <AccountType/>
      </UserInfo>
      <UserInfo>
        <DisplayName>Arturo Henao Chaparro</DisplayName>
        <AccountId>48</AccountId>
        <AccountType/>
      </UserInfo>
      <UserInfo>
        <DisplayName>Luis Esteban Florez Salamanca</DisplayName>
        <AccountId>33</AccountId>
        <AccountType/>
      </UserInfo>
      <UserInfo>
        <DisplayName>Ivan David Salazar Cardenas</DisplayName>
        <AccountId>52</AccountId>
        <AccountType/>
      </UserInfo>
      <UserInfo>
        <DisplayName>Juan Carlos Marin Morales</DisplayName>
        <AccountId>53</AccountId>
        <AccountType/>
      </UserInfo>
      <UserInfo>
        <DisplayName>Sofia Duque Gomez</DisplayName>
        <AccountId>60</AccountId>
        <AccountType/>
      </UserInfo>
      <UserInfo>
        <DisplayName>Andres Felipe Romero Brand</DisplayName>
        <AccountId>91</AccountId>
        <AccountType/>
      </UserInfo>
      <UserInfo>
        <DisplayName>Lindsay Vanessa Pinto Morato</DisplayName>
        <AccountId>92</AccountId>
        <AccountType/>
      </UserInfo>
      <UserInfo>
        <DisplayName>Miguel Angel Acosta Walteros</DisplayName>
        <AccountId>94</AccountId>
        <AccountType/>
      </UserInfo>
      <UserInfo>
        <DisplayName>Juan David Diaz Ipuz</DisplayName>
        <AccountId>90</AccountId>
        <AccountType/>
      </UserInfo>
      <UserInfo>
        <DisplayName>Lily Aitana valentina Duque Chavez</DisplayName>
        <AccountId>17</AccountId>
        <AccountType/>
      </UserInfo>
      <UserInfo>
        <DisplayName>Isaac David Bermudez Lara</DisplayName>
        <AccountId>95</AccountId>
        <AccountType/>
      </UserInfo>
      <UserInfo>
        <DisplayName>Daniel Alejandro Angel Fuertes</DisplayName>
        <AccountId>55</AccountId>
        <AccountType/>
      </UserInfo>
      <UserInfo>
        <DisplayName>Jeniffer Liliam Mendoza Espinosa</DisplayName>
        <AccountId>97</AccountId>
        <AccountType/>
      </UserInfo>
      <UserInfo>
        <DisplayName>Kevin Cohen Solano</DisplayName>
        <AccountId>93</AccountId>
        <AccountType/>
      </UserInfo>
      <UserInfo>
        <DisplayName>Cesar Luis Moreno Gonzalez</DisplayName>
        <AccountId>96</AccountId>
        <AccountType/>
      </UserInfo>
      <UserInfo>
        <DisplayName>Jose Cristobal Arroyo Castellanos</DisplayName>
        <AccountId>54</AccountId>
        <AccountType/>
      </UserInfo>
    </SharedWithUsers>
    <TaxCatchAll xmlns="85e30bcc-d76c-4413-8e4d-2dce22fb0743" xsi:nil="true"/>
    <lcf76f155ced4ddcb4097134ff3c332f xmlns="164883f8-7691-4ecf-b54a-664c0d0edef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3858CF01A2EF24688B692775F4C60A4" ma:contentTypeVersion="17" ma:contentTypeDescription="Crear nuevo documento." ma:contentTypeScope="" ma:versionID="39f2afe36700b83939ba6e49cc253596">
  <xsd:schema xmlns:xsd="http://www.w3.org/2001/XMLSchema" xmlns:xs="http://www.w3.org/2001/XMLSchema" xmlns:p="http://schemas.microsoft.com/office/2006/metadata/properties" xmlns:ns2="164883f8-7691-4ecf-b54a-664c0d0edefe" xmlns:ns3="85e30bcc-d76c-4413-8e4d-2dce22fb0743" targetNamespace="http://schemas.microsoft.com/office/2006/metadata/properties" ma:root="true" ma:fieldsID="24098648399639f58895cd89d20500e6" ns2:_="" ns3:_="">
    <xsd:import namespace="164883f8-7691-4ecf-b54a-664c0d0edefe"/>
    <xsd:import namespace="85e30bcc-d76c-4413-8e4d-2dce22fb07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4883f8-7691-4ecf-b54a-664c0d0ede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e30bcc-d76c-4413-8e4d-2dce22fb074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6816d37-b675-4589-8225-e6a38877c704}" ma:internalName="TaxCatchAll" ma:showField="CatchAllData" ma:web="85e30bcc-d76c-4413-8e4d-2dce22fb0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C5E1E0-C817-4769-9D2D-1DC296B681FA}">
  <ds:schemaRefs>
    <ds:schemaRef ds:uri="http://schemas.microsoft.com/office/2006/metadata/properties"/>
    <ds:schemaRef ds:uri="http://schemas.microsoft.com/office/infopath/2007/PartnerControls"/>
    <ds:schemaRef ds:uri="85e30bcc-d76c-4413-8e4d-2dce22fb0743"/>
    <ds:schemaRef ds:uri="164883f8-7691-4ecf-b54a-664c0d0edefe"/>
  </ds:schemaRefs>
</ds:datastoreItem>
</file>

<file path=customXml/itemProps2.xml><?xml version="1.0" encoding="utf-8"?>
<ds:datastoreItem xmlns:ds="http://schemas.openxmlformats.org/officeDocument/2006/customXml" ds:itemID="{5782CBBC-05AF-4A6B-A1AF-29EFB37A75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4883f8-7691-4ecf-b54a-664c0d0edefe"/>
    <ds:schemaRef ds:uri="85e30bcc-d76c-4413-8e4d-2dce22fb0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DF3742-38F2-4B99-B335-CC4F04ED9F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Gráficos</vt:lpstr>
      </vt:variant>
      <vt:variant>
        <vt:i4>1</vt:i4>
      </vt:variant>
    </vt:vector>
  </HeadingPairs>
  <TitlesOfParts>
    <vt:vector size="3" baseType="lpstr">
      <vt:lpstr>01-Data Req. 4</vt:lpstr>
      <vt:lpstr>03-Análisis Req. 4</vt:lpstr>
      <vt:lpstr>02-Gráfica Req.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Felipe Arteaga Martin</dc:creator>
  <cp:keywords/>
  <dc:description/>
  <cp:lastModifiedBy>Salomon Gonzalez Lozada</cp:lastModifiedBy>
  <cp:revision/>
  <dcterms:created xsi:type="dcterms:W3CDTF">2021-02-18T03:17:26Z</dcterms:created>
  <dcterms:modified xsi:type="dcterms:W3CDTF">2026-10-15T03:47:26Z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0x01010023858CF01A2EF24688B692775F4C60A4</vt:lpwstr>
  </property>
  <property fmtid="{D5CDD505-2E9C-101B-9397-08002B2CF9AE}" pid="3" name="MediaServiceImageTags">
    <vt:lpwstr/>
  </property>
</Properties>
</file>